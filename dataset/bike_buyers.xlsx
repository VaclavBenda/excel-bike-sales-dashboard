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aske\Downloads\"/>
    </mc:Choice>
  </mc:AlternateContent>
  <xr:revisionPtr revIDLastSave="0" documentId="13_ncr:1_{B4F248F4-3469-4BDB-B409-38DFB523F251}" xr6:coauthVersionLast="47" xr6:coauthVersionMax="47" xr10:uidLastSave="{00000000-0000-0000-0000-000000000000}"/>
  <bookViews>
    <workbookView xWindow="-120" yWindow="-120" windowWidth="29040" windowHeight="16440" activeTab="2"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Home_Owner">#N/A</definedName>
    <definedName name="Slicer_Marital_Status">#N/A</definedName>
    <definedName name="Slicer_Region">#N/A</definedName>
  </definedNames>
  <calcPr calcId="191029"/>
  <pivotCaches>
    <pivotCache cacheId="6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<sst xmlns="http://schemas.openxmlformats.org/spreadsheetml/2006/main" count="16277" uniqueCount="52">
  <si>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</si>
  <si>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</si>
  <si>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</si>
  <si>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</si>
  <si>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</si>
  <si>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</si>
  <si>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</si>
  <si>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</si>
  <si>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</si>
  <si>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</si>
  <si>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</si>
  <si>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</si>
  <si>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</si>
  <si>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</si>
  <si>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</si>
  <si>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</si>
  <si>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</si>
  <si>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</si>
  <si>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</si>
  <si>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</si>
  <si>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</si>
  <si>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</si>
  <si>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</si>
  <si>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</si>
  <si>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</si>
  <si>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</si>
  <si>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</si>
  <si>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</si>
  <si>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</si>
  <si>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</si>
  <si>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</si>
  <si>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</si>
  <si>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</si>
  <si>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</si>
  <si>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</si>
  <si>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</si>
  <si>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</si>
  <si>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</si>
  <si>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</si>
  <si>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</si>
  <si>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</si>
  <si>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</si>
  <si>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</si>
  <si>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</si>
  <si>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</si>
  <si>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</si>
  <si>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Old</t>
  </si>
  <si>
    <t>Adolescent</t>
  </si>
  <si>
    <t>Count of Purchased Bike</t>
  </si>
  <si>
    <t>More than 10 Miles</t>
  </si>
  <si>
    <t>Bike Sales Dashboard</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</si>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</sst>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6" formatCode="_-[$$-409]* #,##0.00_ ;_-[$$-409]* \-#,##0.00\ ;_-[$$-409]* &quot;-&quot;??_ ;_-@_ "/>
    <numFmt numFmtId="169"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charset val="23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9" fontId="0" fillId="0" borderId="0" xfId="0" applyNumberFormat="1"/>
    <xf numFmtId="166"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vertical="center"/>
    </xf>
    <xf numFmtId="0" fontId="19" fillId="34" borderId="0" xfId="0" applyFont="1" applyFill="1" applyAlignment="1">
      <alignment horizontal="center" vertical="center"/>
    </xf>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Check Cell" xfId="13" builtinId="23"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 ##0_ ;_-[$$-409]* \-#\ ##0\ ;_-[$$-409]* "-"??_ ;_-@_ </c:formatCode>
                <c:ptCount val="2"/>
                <c:pt idx="0">
                  <c:v>45384.615384615383</c:v>
                </c:pt>
                <c:pt idx="1">
                  <c:v>45588.23529411765</c:v>
                </c:pt>
              </c:numCache>
            </c:numRef>
          </c:val>
          <c:extLst>
            <c:ext xmlns:c16="http://schemas.microsoft.com/office/drawing/2014/chart" uri="{C3380CC4-5D6E-409C-BE32-E72D297353CC}">
              <c16:uniqueId val="{00000000-AEB7-4DF1-9FB3-D15A6BCF9D1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 ##0_ ;_-[$$-409]* \-#\ ##0\ ;_-[$$-409]* "-"??_ ;_-@_ </c:formatCode>
                <c:ptCount val="2"/>
                <c:pt idx="0">
                  <c:v>50526.315789473687</c:v>
                </c:pt>
                <c:pt idx="1">
                  <c:v>53714.285714285717</c:v>
                </c:pt>
              </c:numCache>
            </c:numRef>
          </c:val>
          <c:extLst>
            <c:ext xmlns:c16="http://schemas.microsoft.com/office/drawing/2014/chart" uri="{C3380CC4-5D6E-409C-BE32-E72D297353CC}">
              <c16:uniqueId val="{00000001-AEB7-4DF1-9FB3-D15A6BCF9D18}"/>
            </c:ext>
          </c:extLst>
        </c:ser>
        <c:dLbls>
          <c:dLblPos val="outEnd"/>
          <c:showLegendKey val="0"/>
          <c:showVal val="0"/>
          <c:showCatName val="0"/>
          <c:showSerName val="0"/>
          <c:showPercent val="0"/>
          <c:showBubbleSize val="0"/>
        </c:dLbls>
        <c:gapWidth val="219"/>
        <c:overlap val="-27"/>
        <c:axId val="1867687199"/>
        <c:axId val="1867683839"/>
      </c:barChart>
      <c:catAx>
        <c:axId val="1867687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683839"/>
        <c:crosses val="autoZero"/>
        <c:auto val="1"/>
        <c:lblAlgn val="ctr"/>
        <c:lblOffset val="100"/>
        <c:noMultiLvlLbl val="0"/>
      </c:catAx>
      <c:valAx>
        <c:axId val="186768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687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CBFB-4409-997E-ADB5DAB75596}"/>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CBFB-4409-997E-ADB5DAB75596}"/>
            </c:ext>
          </c:extLst>
        </c:ser>
        <c:dLbls>
          <c:showLegendKey val="0"/>
          <c:showVal val="0"/>
          <c:showCatName val="0"/>
          <c:showSerName val="0"/>
          <c:showPercent val="0"/>
          <c:showBubbleSize val="0"/>
        </c:dLbls>
        <c:smooth val="0"/>
        <c:axId val="2008317871"/>
        <c:axId val="2008315951"/>
      </c:lineChart>
      <c:catAx>
        <c:axId val="200831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15951"/>
        <c:crosses val="autoZero"/>
        <c:auto val="1"/>
        <c:lblAlgn val="ctr"/>
        <c:lblOffset val="100"/>
        <c:noMultiLvlLbl val="0"/>
      </c:catAx>
      <c:valAx>
        <c:axId val="200831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Custromer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2</c:v>
                </c:pt>
                <c:pt idx="1">
                  <c:v>48</c:v>
                </c:pt>
                <c:pt idx="2">
                  <c:v>23</c:v>
                </c:pt>
              </c:numCache>
            </c:numRef>
          </c:val>
          <c:smooth val="0"/>
          <c:extLst>
            <c:ext xmlns:c16="http://schemas.microsoft.com/office/drawing/2014/chart" uri="{C3380CC4-5D6E-409C-BE32-E72D297353CC}">
              <c16:uniqueId val="{00000000-CBDF-4D3A-A8EF-4C6AEB5E05C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c:v>
                </c:pt>
                <c:pt idx="1">
                  <c:v>62</c:v>
                </c:pt>
                <c:pt idx="2">
                  <c:v>10</c:v>
                </c:pt>
              </c:numCache>
            </c:numRef>
          </c:val>
          <c:smooth val="0"/>
          <c:extLst>
            <c:ext xmlns:c16="http://schemas.microsoft.com/office/drawing/2014/chart" uri="{C3380CC4-5D6E-409C-BE32-E72D297353CC}">
              <c16:uniqueId val="{00000001-CBDF-4D3A-A8EF-4C6AEB5E05C1}"/>
            </c:ext>
          </c:extLst>
        </c:ser>
        <c:dLbls>
          <c:showLegendKey val="0"/>
          <c:showVal val="0"/>
          <c:showCatName val="0"/>
          <c:showSerName val="0"/>
          <c:showPercent val="0"/>
          <c:showBubbleSize val="0"/>
        </c:dLbls>
        <c:marker val="1"/>
        <c:smooth val="0"/>
        <c:axId val="2008263631"/>
        <c:axId val="2008267951"/>
      </c:lineChart>
      <c:catAx>
        <c:axId val="200826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Age Bracker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67951"/>
        <c:crosses val="autoZero"/>
        <c:auto val="1"/>
        <c:lblAlgn val="ctr"/>
        <c:lblOffset val="100"/>
        <c:noMultiLvlLbl val="0"/>
      </c:catAx>
      <c:valAx>
        <c:axId val="20082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Table'!$B$49:$B$50</c:f>
              <c:strCache>
                <c:ptCount val="1"/>
                <c:pt idx="0">
                  <c:v>No</c:v>
                </c:pt>
              </c:strCache>
            </c:strRef>
          </c:tx>
          <c:spPr>
            <a:solidFill>
              <a:schemeClr val="accent1"/>
            </a:solidFill>
            <a:ln>
              <a:noFill/>
            </a:ln>
            <a:effectLst/>
          </c:spPr>
          <c:invertIfNegative val="0"/>
          <c:cat>
            <c:strRef>
              <c:f>'Pivot Table'!$A$51:$A$54</c:f>
              <c:strCache>
                <c:ptCount val="3"/>
                <c:pt idx="0">
                  <c:v>Adolescent</c:v>
                </c:pt>
                <c:pt idx="1">
                  <c:v>Middle Age</c:v>
                </c:pt>
                <c:pt idx="2">
                  <c:v>Old</c:v>
                </c:pt>
              </c:strCache>
            </c:strRef>
          </c:cat>
          <c:val>
            <c:numRef>
              <c:f>'Pivot Table'!$B$51:$B$54</c:f>
              <c:numCache>
                <c:formatCode>0.00%</c:formatCode>
                <c:ptCount val="3"/>
                <c:pt idx="0">
                  <c:v>0.66666666666666663</c:v>
                </c:pt>
                <c:pt idx="1">
                  <c:v>0.43636363636363634</c:v>
                </c:pt>
                <c:pt idx="2">
                  <c:v>0.69696969696969702</c:v>
                </c:pt>
              </c:numCache>
            </c:numRef>
          </c:val>
          <c:extLst>
            <c:ext xmlns:c16="http://schemas.microsoft.com/office/drawing/2014/chart" uri="{C3380CC4-5D6E-409C-BE32-E72D297353CC}">
              <c16:uniqueId val="{00000000-6F91-4E77-A5EA-852E6D617B6C}"/>
            </c:ext>
          </c:extLst>
        </c:ser>
        <c:ser>
          <c:idx val="1"/>
          <c:order val="1"/>
          <c:tx>
            <c:strRef>
              <c:f>'Pivot Table'!$C$49:$C$50</c:f>
              <c:strCache>
                <c:ptCount val="1"/>
                <c:pt idx="0">
                  <c:v>Yes</c:v>
                </c:pt>
              </c:strCache>
            </c:strRef>
          </c:tx>
          <c:spPr>
            <a:solidFill>
              <a:schemeClr val="accent2"/>
            </a:solidFill>
            <a:ln>
              <a:noFill/>
            </a:ln>
            <a:effectLst/>
          </c:spPr>
          <c:invertIfNegative val="0"/>
          <c:cat>
            <c:strRef>
              <c:f>'Pivot Table'!$A$51:$A$54</c:f>
              <c:strCache>
                <c:ptCount val="3"/>
                <c:pt idx="0">
                  <c:v>Adolescent</c:v>
                </c:pt>
                <c:pt idx="1">
                  <c:v>Middle Age</c:v>
                </c:pt>
                <c:pt idx="2">
                  <c:v>Old</c:v>
                </c:pt>
              </c:strCache>
            </c:strRef>
          </c:cat>
          <c:val>
            <c:numRef>
              <c:f>'Pivot Table'!$C$51:$C$54</c:f>
              <c:numCache>
                <c:formatCode>0.00%</c:formatCode>
                <c:ptCount val="3"/>
                <c:pt idx="0">
                  <c:v>0.33333333333333331</c:v>
                </c:pt>
                <c:pt idx="1">
                  <c:v>0.5636363636363636</c:v>
                </c:pt>
                <c:pt idx="2">
                  <c:v>0.30303030303030304</c:v>
                </c:pt>
              </c:numCache>
            </c:numRef>
          </c:val>
          <c:extLst>
            <c:ext xmlns:c16="http://schemas.microsoft.com/office/drawing/2014/chart" uri="{C3380CC4-5D6E-409C-BE32-E72D297353CC}">
              <c16:uniqueId val="{00000001-6F91-4E77-A5EA-852E6D617B6C}"/>
            </c:ext>
          </c:extLst>
        </c:ser>
        <c:dLbls>
          <c:dLblPos val="outEnd"/>
          <c:showLegendKey val="0"/>
          <c:showVal val="0"/>
          <c:showCatName val="0"/>
          <c:showSerName val="0"/>
          <c:showPercent val="0"/>
          <c:showBubbleSize val="0"/>
        </c:dLbls>
        <c:gapWidth val="219"/>
        <c:overlap val="-27"/>
        <c:axId val="82098351"/>
        <c:axId val="82095951"/>
      </c:barChart>
      <c:catAx>
        <c:axId val="8209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5951"/>
        <c:crosses val="autoZero"/>
        <c:auto val="1"/>
        <c:lblAlgn val="ctr"/>
        <c:lblOffset val="100"/>
        <c:noMultiLvlLbl val="0"/>
      </c:catAx>
      <c:valAx>
        <c:axId val="8209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Customers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 ##0_ ;_-[$$-409]* \-#\ ##0\ ;_-[$$-409]* "-"??_ ;_-@_ </c:formatCode>
                <c:ptCount val="2"/>
                <c:pt idx="0">
                  <c:v>45384.615384615383</c:v>
                </c:pt>
                <c:pt idx="1">
                  <c:v>45588.23529411765</c:v>
                </c:pt>
              </c:numCache>
            </c:numRef>
          </c:val>
          <c:extLst>
            <c:ext xmlns:c16="http://schemas.microsoft.com/office/drawing/2014/chart" uri="{C3380CC4-5D6E-409C-BE32-E72D297353CC}">
              <c16:uniqueId val="{00000000-B29B-4281-9A9E-46D63B78300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 ##0_ ;_-[$$-409]* \-#\ ##0\ ;_-[$$-409]* "-"??_ ;_-@_ </c:formatCode>
                <c:ptCount val="2"/>
                <c:pt idx="0">
                  <c:v>50526.315789473687</c:v>
                </c:pt>
                <c:pt idx="1">
                  <c:v>53714.285714285717</c:v>
                </c:pt>
              </c:numCache>
            </c:numRef>
          </c:val>
          <c:extLst>
            <c:ext xmlns:c16="http://schemas.microsoft.com/office/drawing/2014/chart" uri="{C3380CC4-5D6E-409C-BE32-E72D297353CC}">
              <c16:uniqueId val="{00000001-B29B-4281-9A9E-46D63B783008}"/>
            </c:ext>
          </c:extLst>
        </c:ser>
        <c:dLbls>
          <c:showLegendKey val="0"/>
          <c:showVal val="0"/>
          <c:showCatName val="0"/>
          <c:showSerName val="0"/>
          <c:showPercent val="0"/>
          <c:showBubbleSize val="0"/>
        </c:dLbls>
        <c:gapWidth val="219"/>
        <c:overlap val="-27"/>
        <c:axId val="1867687199"/>
        <c:axId val="1867683839"/>
      </c:barChart>
      <c:catAx>
        <c:axId val="1867687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683839"/>
        <c:crosses val="autoZero"/>
        <c:auto val="1"/>
        <c:lblAlgn val="ctr"/>
        <c:lblOffset val="100"/>
        <c:noMultiLvlLbl val="0"/>
      </c:catAx>
      <c:valAx>
        <c:axId val="186768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687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1160-4F6B-8CC6-0FBF346EA2BC}"/>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1160-4F6B-8CC6-0FBF346EA2BC}"/>
            </c:ext>
          </c:extLst>
        </c:ser>
        <c:dLbls>
          <c:showLegendKey val="0"/>
          <c:showVal val="0"/>
          <c:showCatName val="0"/>
          <c:showSerName val="0"/>
          <c:showPercent val="0"/>
          <c:showBubbleSize val="0"/>
        </c:dLbls>
        <c:marker val="1"/>
        <c:smooth val="0"/>
        <c:axId val="2008317871"/>
        <c:axId val="2008315951"/>
      </c:lineChart>
      <c:catAx>
        <c:axId val="20083178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8315951"/>
        <c:crosses val="autoZero"/>
        <c:auto val="1"/>
        <c:lblAlgn val="ctr"/>
        <c:lblOffset val="100"/>
        <c:noMultiLvlLbl val="0"/>
      </c:catAx>
      <c:valAx>
        <c:axId val="20083159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83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Custromer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2</c:v>
                </c:pt>
                <c:pt idx="1">
                  <c:v>48</c:v>
                </c:pt>
                <c:pt idx="2">
                  <c:v>23</c:v>
                </c:pt>
              </c:numCache>
            </c:numRef>
          </c:val>
          <c:smooth val="0"/>
          <c:extLst>
            <c:ext xmlns:c16="http://schemas.microsoft.com/office/drawing/2014/chart" uri="{C3380CC4-5D6E-409C-BE32-E72D297353CC}">
              <c16:uniqueId val="{00000000-7DC3-4009-93A0-C6651ECE2A0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c:v>
                </c:pt>
                <c:pt idx="1">
                  <c:v>62</c:v>
                </c:pt>
                <c:pt idx="2">
                  <c:v>10</c:v>
                </c:pt>
              </c:numCache>
            </c:numRef>
          </c:val>
          <c:smooth val="0"/>
          <c:extLst>
            <c:ext xmlns:c16="http://schemas.microsoft.com/office/drawing/2014/chart" uri="{C3380CC4-5D6E-409C-BE32-E72D297353CC}">
              <c16:uniqueId val="{00000001-7DC3-4009-93A0-C6651ECE2A01}"/>
            </c:ext>
          </c:extLst>
        </c:ser>
        <c:dLbls>
          <c:showLegendKey val="0"/>
          <c:showVal val="0"/>
          <c:showCatName val="0"/>
          <c:showSerName val="0"/>
          <c:showPercent val="0"/>
          <c:showBubbleSize val="0"/>
        </c:dLbls>
        <c:marker val="1"/>
        <c:smooth val="0"/>
        <c:axId val="2008263631"/>
        <c:axId val="2008267951"/>
      </c:lineChart>
      <c:catAx>
        <c:axId val="200826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Age Bracker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67951"/>
        <c:crosses val="autoZero"/>
        <c:auto val="1"/>
        <c:lblAlgn val="ctr"/>
        <c:lblOffset val="100"/>
        <c:noMultiLvlLbl val="0"/>
      </c:catAx>
      <c:valAx>
        <c:axId val="20082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Table'!$B$49:$B$50</c:f>
              <c:strCache>
                <c:ptCount val="1"/>
                <c:pt idx="0">
                  <c:v>No</c:v>
                </c:pt>
              </c:strCache>
            </c:strRef>
          </c:tx>
          <c:spPr>
            <a:solidFill>
              <a:schemeClr val="accent1"/>
            </a:solidFill>
            <a:ln>
              <a:noFill/>
            </a:ln>
            <a:effectLst/>
          </c:spPr>
          <c:invertIfNegative val="0"/>
          <c:cat>
            <c:strRef>
              <c:f>'Pivot Table'!$A$51:$A$54</c:f>
              <c:strCache>
                <c:ptCount val="3"/>
                <c:pt idx="0">
                  <c:v>Adolescent</c:v>
                </c:pt>
                <c:pt idx="1">
                  <c:v>Middle Age</c:v>
                </c:pt>
                <c:pt idx="2">
                  <c:v>Old</c:v>
                </c:pt>
              </c:strCache>
            </c:strRef>
          </c:cat>
          <c:val>
            <c:numRef>
              <c:f>'Pivot Table'!$B$51:$B$54</c:f>
              <c:numCache>
                <c:formatCode>0.00%</c:formatCode>
                <c:ptCount val="3"/>
                <c:pt idx="0">
                  <c:v>0.66666666666666663</c:v>
                </c:pt>
                <c:pt idx="1">
                  <c:v>0.43636363636363634</c:v>
                </c:pt>
                <c:pt idx="2">
                  <c:v>0.69696969696969702</c:v>
                </c:pt>
              </c:numCache>
            </c:numRef>
          </c:val>
          <c:extLst>
            <c:ext xmlns:c16="http://schemas.microsoft.com/office/drawing/2014/chart" uri="{C3380CC4-5D6E-409C-BE32-E72D297353CC}">
              <c16:uniqueId val="{00000000-6981-45FC-8980-5DA214034F61}"/>
            </c:ext>
          </c:extLst>
        </c:ser>
        <c:ser>
          <c:idx val="1"/>
          <c:order val="1"/>
          <c:tx>
            <c:strRef>
              <c:f>'Pivot Table'!$C$49:$C$50</c:f>
              <c:strCache>
                <c:ptCount val="1"/>
                <c:pt idx="0">
                  <c:v>Yes</c:v>
                </c:pt>
              </c:strCache>
            </c:strRef>
          </c:tx>
          <c:spPr>
            <a:solidFill>
              <a:schemeClr val="accent2"/>
            </a:solidFill>
            <a:ln>
              <a:noFill/>
            </a:ln>
            <a:effectLst/>
          </c:spPr>
          <c:invertIfNegative val="0"/>
          <c:cat>
            <c:strRef>
              <c:f>'Pivot Table'!$A$51:$A$54</c:f>
              <c:strCache>
                <c:ptCount val="3"/>
                <c:pt idx="0">
                  <c:v>Adolescent</c:v>
                </c:pt>
                <c:pt idx="1">
                  <c:v>Middle Age</c:v>
                </c:pt>
                <c:pt idx="2">
                  <c:v>Old</c:v>
                </c:pt>
              </c:strCache>
            </c:strRef>
          </c:cat>
          <c:val>
            <c:numRef>
              <c:f>'Pivot Table'!$C$51:$C$54</c:f>
              <c:numCache>
                <c:formatCode>0.00%</c:formatCode>
                <c:ptCount val="3"/>
                <c:pt idx="0">
                  <c:v>0.33333333333333331</c:v>
                </c:pt>
                <c:pt idx="1">
                  <c:v>0.5636363636363636</c:v>
                </c:pt>
                <c:pt idx="2">
                  <c:v>0.30303030303030304</c:v>
                </c:pt>
              </c:numCache>
            </c:numRef>
          </c:val>
          <c:extLst>
            <c:ext xmlns:c16="http://schemas.microsoft.com/office/drawing/2014/chart" uri="{C3380CC4-5D6E-409C-BE32-E72D297353CC}">
              <c16:uniqueId val="{00000001-6981-45FC-8980-5DA214034F61}"/>
            </c:ext>
          </c:extLst>
        </c:ser>
        <c:dLbls>
          <c:showLegendKey val="0"/>
          <c:showVal val="0"/>
          <c:showCatName val="0"/>
          <c:showSerName val="0"/>
          <c:showPercent val="0"/>
          <c:showBubbleSize val="0"/>
        </c:dLbls>
        <c:gapWidth val="219"/>
        <c:overlap val="-27"/>
        <c:axId val="82098351"/>
        <c:axId val="82095951"/>
      </c:barChart>
      <c:catAx>
        <c:axId val="8209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5951"/>
        <c:crosses val="autoZero"/>
        <c:auto val="1"/>
        <c:lblAlgn val="ctr"/>
        <c:lblOffset val="100"/>
        <c:noMultiLvlLbl val="0"/>
      </c:catAx>
      <c:valAx>
        <c:axId val="8209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Customers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276225</xdr:colOff>
      <xdr:row>1</xdr:row>
      <xdr:rowOff>95249</xdr:rowOff>
    </xdr:from>
    <xdr:to>
      <xdr:col>11</xdr:col>
      <xdr:colOff>561975</xdr:colOff>
      <xdr:row>13</xdr:row>
      <xdr:rowOff>95250</xdr:rowOff>
    </xdr:to>
    <xdr:graphicFrame macro="">
      <xdr:nvGraphicFramePr>
        <xdr:cNvPr id="2" name="Chart 1">
          <a:extLst>
            <a:ext uri="{FF2B5EF4-FFF2-40B4-BE49-F238E27FC236}">
              <a16:creationId xmlns:a16="http://schemas.microsoft.com/office/drawing/2014/main" id="{96A6BC39-59F6-2AEE-B680-DB92FB0CA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18</xdr:row>
      <xdr:rowOff>123825</xdr:rowOff>
    </xdr:from>
    <xdr:to>
      <xdr:col>11</xdr:col>
      <xdr:colOff>342900</xdr:colOff>
      <xdr:row>30</xdr:row>
      <xdr:rowOff>9525</xdr:rowOff>
    </xdr:to>
    <xdr:graphicFrame macro="">
      <xdr:nvGraphicFramePr>
        <xdr:cNvPr id="4" name="Chart 3">
          <a:extLst>
            <a:ext uri="{FF2B5EF4-FFF2-40B4-BE49-F238E27FC236}">
              <a16:creationId xmlns:a16="http://schemas.microsoft.com/office/drawing/2014/main" id="{44C81470-51D5-8B0C-DB71-FFE3DE5FE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9524</xdr:colOff>
      <xdr:row>31</xdr:row>
      <xdr:rowOff>171450</xdr:rowOff>
    </xdr:from>
    <xdr:to>
      <xdr:col>12</xdr:col>
      <xdr:colOff>495300</xdr:colOff>
      <xdr:row>46</xdr:row>
      <xdr:rowOff>85726</xdr:rowOff>
    </xdr:to>
    <xdr:graphicFrame macro="">
      <xdr:nvGraphicFramePr>
        <xdr:cNvPr id="5" name="Chart 4">
          <a:extLst>
            <a:ext uri="{FF2B5EF4-FFF2-40B4-BE49-F238E27FC236}">
              <a16:creationId xmlns:a16="http://schemas.microsoft.com/office/drawing/2014/main" id="{7690BC73-A513-E788-210D-F8ACD4395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49</xdr:row>
      <xdr:rowOff>142875</xdr:rowOff>
    </xdr:from>
    <xdr:to>
      <xdr:col>12</xdr:col>
      <xdr:colOff>361950</xdr:colOff>
      <xdr:row>64</xdr:row>
      <xdr:rowOff>28575</xdr:rowOff>
    </xdr:to>
    <xdr:graphicFrame macro="">
      <xdr:nvGraphicFramePr>
        <xdr:cNvPr id="6" name="Chart 5">
          <a:extLst>
            <a:ext uri="{FF2B5EF4-FFF2-40B4-BE49-F238E27FC236}">
              <a16:creationId xmlns:a16="http://schemas.microsoft.com/office/drawing/2014/main" id="{E3CAA8EF-E36F-2D26-A527-D7FEA5EC3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47626</xdr:colOff>
      <xdr:row>6</xdr:row>
      <xdr:rowOff>47625</xdr:rowOff>
    </xdr:from>
    <xdr:to>
      <xdr:col>9</xdr:col>
      <xdr:colOff>580426</xdr:colOff>
      <xdr:row>18</xdr:row>
      <xdr:rowOff>123225</xdr:rowOff>
    </xdr:to>
    <xdr:graphicFrame macro="">
      <xdr:nvGraphicFramePr>
        <xdr:cNvPr id="2" name="Chart 1">
          <a:extLst>
            <a:ext uri="{FF2B5EF4-FFF2-40B4-BE49-F238E27FC236}">
              <a16:creationId xmlns:a16="http://schemas.microsoft.com/office/drawing/2014/main" id="{B73A4E46-8E18-4AAF-BBE5-6F55F8D2E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47626</xdr:colOff>
      <xdr:row>33</xdr:row>
      <xdr:rowOff>88959</xdr:rowOff>
    </xdr:from>
    <xdr:to>
      <xdr:col>16</xdr:col>
      <xdr:colOff>611026</xdr:colOff>
      <xdr:row>47</xdr:row>
      <xdr:rowOff>12759</xdr:rowOff>
    </xdr:to>
    <xdr:graphicFrame macro="">
      <xdr:nvGraphicFramePr>
        <xdr:cNvPr id="3" name="Chart 2">
          <a:extLst>
            <a:ext uri="{FF2B5EF4-FFF2-40B4-BE49-F238E27FC236}">
              <a16:creationId xmlns:a16="http://schemas.microsoft.com/office/drawing/2014/main" id="{B8FE9096-AFB5-4DF3-869C-1B3D768C7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85183</xdr:colOff>
      <xdr:row>6</xdr:row>
      <xdr:rowOff>47625</xdr:rowOff>
    </xdr:from>
    <xdr:to>
      <xdr:col>17</xdr:col>
      <xdr:colOff>8985</xdr:colOff>
      <xdr:row>18</xdr:row>
      <xdr:rowOff>123225</xdr:rowOff>
    </xdr:to>
    <xdr:graphicFrame macro="">
      <xdr:nvGraphicFramePr>
        <xdr:cNvPr id="4" name="Chart 3">
          <a:extLst>
            <a:ext uri="{FF2B5EF4-FFF2-40B4-BE49-F238E27FC236}">
              <a16:creationId xmlns:a16="http://schemas.microsoft.com/office/drawing/2014/main" id="{0BD9CE45-3C26-4230-8DD9-122B5ABE7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22465</xdr:colOff>
      <xdr:row>6</xdr:row>
      <xdr:rowOff>47625</xdr:rowOff>
    </xdr:from>
    <xdr:to>
      <xdr:col>3</xdr:col>
      <xdr:colOff>31990</xdr:colOff>
      <xdr:row>11</xdr:row>
      <xdr:rowOff>76200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8ADCAE8-F916-CA9E-41B9-853820EB3B7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465" y="1190625"/>
              <a:ext cx="1846489"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70090</xdr:colOff>
      <xdr:row>18</xdr:row>
      <xdr:rowOff>66676</xdr:rowOff>
    </xdr:from>
    <xdr:to>
      <xdr:col>3</xdr:col>
      <xdr:colOff>31990</xdr:colOff>
      <xdr:row>27</xdr:row>
      <xdr:rowOff>76200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A824F97-696E-0581-A2C0-755A9B5B61F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0090" y="3495676"/>
              <a:ext cx="1798864"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31990</xdr:colOff>
      <xdr:row>11</xdr:row>
      <xdr:rowOff>142875</xdr:rowOff>
    </xdr:from>
    <xdr:to>
      <xdr:col>3</xdr:col>
      <xdr:colOff>31990</xdr:colOff>
      <xdr:row>18</xdr:row>
      <xdr:rowOff>28574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0EA735E-8019-9F52-0EEC-E179EB7294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990" y="2238375"/>
              <a:ext cx="1836964"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47626</xdr:colOff>
      <xdr:row>18</xdr:row>
      <xdr:rowOff>154915</xdr:rowOff>
    </xdr:from>
    <xdr:to>
      <xdr:col>17</xdr:col>
      <xdr:colOff>7368</xdr:colOff>
      <xdr:row>33</xdr:row>
      <xdr:rowOff>53914</xdr:rowOff>
    </xdr:to>
    <xdr:graphicFrame macro="">
      <xdr:nvGraphicFramePr>
        <xdr:cNvPr id="8" name="Chart 7">
          <a:extLst>
            <a:ext uri="{FF2B5EF4-FFF2-40B4-BE49-F238E27FC236}">
              <a16:creationId xmlns:a16="http://schemas.microsoft.com/office/drawing/2014/main" id="{E7470907-A4DD-4A0A-81C3-24692367C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36303</xdr:colOff>
      <xdr:row>27</xdr:row>
      <xdr:rowOff>170013</xdr:rowOff>
    </xdr:from>
    <xdr:to>
      <xdr:col>3</xdr:col>
      <xdr:colOff>31990</xdr:colOff>
      <xdr:row>32</xdr:row>
      <xdr:rowOff>170731</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D4A4FBFC-C240-89CC-1235-7B5F1F00DB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6303" y="5313513"/>
              <a:ext cx="1832651" cy="953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36303</xdr:colOff>
      <xdr:row>33</xdr:row>
      <xdr:rowOff>63980</xdr:rowOff>
    </xdr:from>
    <xdr:to>
      <xdr:col>3</xdr:col>
      <xdr:colOff>31990</xdr:colOff>
      <xdr:row>38</xdr:row>
      <xdr:rowOff>26957</xdr:rowOff>
    </xdr:to>
    <mc:AlternateContent xmlns:mc="http://schemas.openxmlformats.org/markup-compatibility/2006">
      <mc:Choice xmlns:a14="http://schemas.microsoft.com/office/drawing/2010/main" Requires="a14">
        <xdr:graphicFrame macro="">
          <xdr:nvGraphicFramePr>
            <xdr:cNvPr id="14" name="Home Owner">
              <a:extLst>
                <a:ext uri="{FF2B5EF4-FFF2-40B4-BE49-F238E27FC236}">
                  <a16:creationId xmlns:a16="http://schemas.microsoft.com/office/drawing/2014/main" id="{C60FE02E-B43E-0E88-489B-0AFAB5F3C000}"/>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36303" y="6350480"/>
              <a:ext cx="1832651" cy="915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áclav Benda" refreshedDate="46164.609622685188" createdVersion="8" refreshedVersion="8" minRefreshableVersion="3" recordCount="1000" xr:uid="{4D2E223F-F392-4CCF-893D-60962632F11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489080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2B67D-5805-4AD4-AE0D-EE650B70CEDE}"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D54" firstHeaderRow="1" firstDataRow="2" firstDataCol="1"/>
  <pivotFields count="14">
    <pivotField dataField="1" showAll="0"/>
    <pivotField showAll="0">
      <items count="3">
        <item x="0"/>
        <item h="1"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h="1" x="2"/>
        <item h="1" x="1"/>
        <item t="default"/>
      </items>
    </pivotField>
    <pivotField showAll="0"/>
    <pivotField axis="axisRow" showAll="0">
      <items count="5">
        <item x="2"/>
        <item m="1" x="3"/>
        <item x="0"/>
        <item x="1"/>
        <item t="default"/>
      </items>
    </pivotField>
    <pivotField axis="axisCol"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ID" fld="0" subtotal="count" showDataAs="percentOfRow" baseField="12"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0786A-761C-4445-A707-E27DDD16E049}"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h="1"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h="1"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4E2BA4-59E3-49AA-ADBD-3E26164EA945}"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9" firstHeaderRow="1" firstDataRow="2" firstDataCol="1"/>
  <pivotFields count="14">
    <pivotField showAll="0"/>
    <pivotField showAll="0">
      <items count="3">
        <item x="0"/>
        <item h="1"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F8DCB1-3F0E-4E2A-BFB6-DB9A662351C2}"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2">
    <format dxfId="17">
      <pivotArea outline="0" collapsedLevelsAreSubtotals="1" fieldPosition="0"/>
    </format>
    <format dxfId="16">
      <pivotArea collapsedLevelsAreSubtotals="1" fieldPosition="0">
        <references count="2">
          <reference field="2" count="1">
            <x v="1"/>
          </reference>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0B12662-8189-4427-B48F-E92F369D8B87}" sourceName="Marital Status">
  <pivotTables>
    <pivotTable tabId="3" name="PivotTable1"/>
    <pivotTable tabId="3" name="PivotTable2"/>
    <pivotTable tabId="3" name="PivotTable3"/>
    <pivotTable tabId="3" name="PivotTable4"/>
  </pivotTables>
  <data>
    <tabular pivotCacheId="48908095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8A7C90-D698-4746-B24A-CA59504FFD40}" sourceName="Education">
  <pivotTables>
    <pivotTable tabId="3" name="PivotTable1"/>
    <pivotTable tabId="3" name="PivotTable2"/>
    <pivotTable tabId="3" name="PivotTable3"/>
    <pivotTable tabId="3" name="PivotTable4"/>
  </pivotTables>
  <data>
    <tabular pivotCacheId="48908095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D28072-4FE7-434D-82AF-00356F9F19F5}" sourceName="Region">
  <pivotTables>
    <pivotTable tabId="3" name="PivotTable1"/>
    <pivotTable tabId="3" name="PivotTable2"/>
    <pivotTable tabId="3" name="PivotTable3"/>
    <pivotTable tabId="3" name="PivotTable4"/>
  </pivotTables>
  <data>
    <tabular pivotCacheId="489080952">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40ABE5-2703-4082-AB49-6AE445C3E06E}" sourceName="Gender">
  <pivotTables>
    <pivotTable tabId="3" name="PivotTable4"/>
    <pivotTable tabId="3" name="PivotTable1"/>
    <pivotTable tabId="3" name="PivotTable2"/>
    <pivotTable tabId="3" name="PivotTable3"/>
  </pivotTables>
  <data>
    <tabular pivotCacheId="48908095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81E9C23-5F38-4988-B353-2FD9189FA746}" sourceName="Home Owner">
  <pivotTables>
    <pivotTable tabId="3" name="PivotTable4"/>
    <pivotTable tabId="3" name="PivotTable1"/>
    <pivotTable tabId="3" name="PivotTable2"/>
    <pivotTable tabId="3" name="PivotTable3"/>
  </pivotTables>
  <data>
    <tabular pivotCacheId="4890809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1F26FE4-004F-44DC-9015-D623974DB4A5}" cache="Slicer_Marital_Status" caption="Marital Status" rowHeight="241300"/>
  <slicer name="Education" xr10:uid="{BE5C811F-D537-4B0C-8444-339581BEAE29}" cache="Slicer_Education" caption="Education" rowHeight="241300"/>
  <slicer name="Region" xr10:uid="{799F204A-1E47-43F7-8D2B-9048FB95DC38}" cache="Slicer_Region" caption="Region" rowHeight="241300"/>
  <slicer name="Gender" xr10:uid="{73BDDF39-4143-4A65-8276-9C517BD97D59}" cache="Slicer_Gender" caption="Gender" rowHeight="241300"/>
  <slicer name="Home Owner" xr10:uid="{8735AB56-F03A-476D-AA1A-C80F815CCC00}"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15" sqref="Q15"/>
    </sheetView>
  </sheetViews>
  <sheetFormatPr defaultColWidth="11.85546875" defaultRowHeight="15" x14ac:dyDescent="0.25"/>
  <cols>
    <col min="1" max="1" width="6" bestFit="1" customWidth="1"/>
    <col min="2" max="2" width="13.28515625" bestFit="1" customWidth="1"/>
    <col min="3" max="3" width="7.5703125" bestFit="1" customWidth="1"/>
    <col min="4" max="4" width="11"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8481-8467-4387-BB31-258BE407C99E}">
  <dimension ref="A1:N1027"/>
  <sheetViews>
    <sheetView topLeftCell="A963" workbookViewId="0">
      <selection activeCell="J15" sqref="J15"/>
    </sheetView>
  </sheetViews>
  <sheetFormatPr defaultRowHeight="15" x14ac:dyDescent="0.25"/>
  <cols>
    <col min="1" max="1" width="6" bestFit="1" customWidth="1"/>
    <col min="2" max="2" width="15.5703125" bestFit="1" customWidth="1"/>
    <col min="3" max="3" width="9.85546875" bestFit="1" customWidth="1"/>
    <col min="4" max="4" width="12.140625" style="4"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IF(L2&gt;54, "Old",IF(L2&gt;=31,"Middle Age",IF(L2&lt;31,"Adolescent","Invalid")))</f>
        <v>Middle Age</v>
      </c>
      <c r="N2" t="s">
        <v>18</v>
      </c>
    </row>
    <row r="3" spans="1:14" x14ac:dyDescent="0.25">
      <c r="A3">
        <v>24107</v>
      </c>
      <c r="B3" t="s">
        <v>36</v>
      </c>
      <c r="C3" t="s">
        <v>39</v>
      </c>
      <c r="D3" s="4">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25">
      <c r="A4">
        <v>14177</v>
      </c>
      <c r="B4" t="s">
        <v>36</v>
      </c>
      <c r="C4" t="s">
        <v>39</v>
      </c>
      <c r="D4" s="4">
        <v>80000</v>
      </c>
      <c r="E4">
        <v>5</v>
      </c>
      <c r="F4" t="s">
        <v>19</v>
      </c>
      <c r="G4" t="s">
        <v>21</v>
      </c>
      <c r="H4" t="s">
        <v>18</v>
      </c>
      <c r="I4">
        <v>2</v>
      </c>
      <c r="J4" t="s">
        <v>22</v>
      </c>
      <c r="K4" t="s">
        <v>17</v>
      </c>
      <c r="L4">
        <v>60</v>
      </c>
      <c r="M4" t="str">
        <f t="shared" si="0"/>
        <v>Old</v>
      </c>
      <c r="N4" t="s">
        <v>18</v>
      </c>
    </row>
    <row r="5" spans="1:14" x14ac:dyDescent="0.25">
      <c r="A5">
        <v>24381</v>
      </c>
      <c r="B5" t="s">
        <v>37</v>
      </c>
      <c r="C5" t="s">
        <v>39</v>
      </c>
      <c r="D5" s="4">
        <v>70000</v>
      </c>
      <c r="E5">
        <v>0</v>
      </c>
      <c r="F5" t="s">
        <v>13</v>
      </c>
      <c r="G5" t="s">
        <v>21</v>
      </c>
      <c r="H5" t="s">
        <v>15</v>
      </c>
      <c r="I5">
        <v>1</v>
      </c>
      <c r="J5" t="s">
        <v>23</v>
      </c>
      <c r="K5" t="s">
        <v>24</v>
      </c>
      <c r="L5">
        <v>41</v>
      </c>
      <c r="M5" t="str">
        <f t="shared" si="0"/>
        <v>Middle Age</v>
      </c>
      <c r="N5" t="s">
        <v>15</v>
      </c>
    </row>
    <row r="6" spans="1:14" x14ac:dyDescent="0.25">
      <c r="A6">
        <v>25597</v>
      </c>
      <c r="B6" t="s">
        <v>37</v>
      </c>
      <c r="C6" t="s">
        <v>39</v>
      </c>
      <c r="D6" s="4">
        <v>30000</v>
      </c>
      <c r="E6">
        <v>0</v>
      </c>
      <c r="F6" t="s">
        <v>13</v>
      </c>
      <c r="G6" t="s">
        <v>20</v>
      </c>
      <c r="H6" t="s">
        <v>18</v>
      </c>
      <c r="I6">
        <v>0</v>
      </c>
      <c r="J6" t="s">
        <v>16</v>
      </c>
      <c r="K6" t="s">
        <v>17</v>
      </c>
      <c r="L6">
        <v>36</v>
      </c>
      <c r="M6" t="str">
        <f t="shared" si="0"/>
        <v>Middle Age</v>
      </c>
      <c r="N6" t="s">
        <v>15</v>
      </c>
    </row>
    <row r="7" spans="1:14" x14ac:dyDescent="0.25">
      <c r="A7">
        <v>13507</v>
      </c>
      <c r="B7" t="s">
        <v>36</v>
      </c>
      <c r="C7" t="s">
        <v>38</v>
      </c>
      <c r="D7" s="4">
        <v>10000</v>
      </c>
      <c r="E7">
        <v>2</v>
      </c>
      <c r="F7" t="s">
        <v>19</v>
      </c>
      <c r="G7" t="s">
        <v>25</v>
      </c>
      <c r="H7" t="s">
        <v>15</v>
      </c>
      <c r="I7">
        <v>0</v>
      </c>
      <c r="J7" t="s">
        <v>26</v>
      </c>
      <c r="K7" t="s">
        <v>17</v>
      </c>
      <c r="L7">
        <v>50</v>
      </c>
      <c r="M7" t="str">
        <f t="shared" si="0"/>
        <v>Middle Age</v>
      </c>
      <c r="N7" t="s">
        <v>18</v>
      </c>
    </row>
    <row r="8" spans="1:14" x14ac:dyDescent="0.25">
      <c r="A8">
        <v>27974</v>
      </c>
      <c r="B8" t="s">
        <v>37</v>
      </c>
      <c r="C8" t="s">
        <v>39</v>
      </c>
      <c r="D8" s="4">
        <v>160000</v>
      </c>
      <c r="E8">
        <v>2</v>
      </c>
      <c r="F8" t="s">
        <v>27</v>
      </c>
      <c r="G8" t="s">
        <v>28</v>
      </c>
      <c r="H8" t="s">
        <v>15</v>
      </c>
      <c r="I8">
        <v>4</v>
      </c>
      <c r="J8" t="s">
        <v>16</v>
      </c>
      <c r="K8" t="s">
        <v>24</v>
      </c>
      <c r="L8">
        <v>33</v>
      </c>
      <c r="M8" t="str">
        <f t="shared" si="0"/>
        <v>Middle Age</v>
      </c>
      <c r="N8" t="s">
        <v>15</v>
      </c>
    </row>
    <row r="9" spans="1:14" x14ac:dyDescent="0.25">
      <c r="A9">
        <v>19364</v>
      </c>
      <c r="B9" t="s">
        <v>36</v>
      </c>
      <c r="C9" t="s">
        <v>39</v>
      </c>
      <c r="D9" s="4">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4">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4">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4">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4">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IF(L67&gt;54, "Old",IF(L67&gt;=31,"Middle Age",IF(L67&lt;31,"Adolescent","Invalid")))</f>
        <v>Old</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4">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4">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4">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4">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4">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4">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v>4</v>
      </c>
      <c r="J195" t="s">
        <v>49</v>
      </c>
      <c r="K195" t="s">
        <v>24</v>
      </c>
      <c r="L195">
        <v>41</v>
      </c>
      <c r="M195" t="str">
        <f t="shared" ref="M195:M258" si="3">IF(L195&gt;54, "Old",IF(L195&gt;=31,"Middle Age",IF(L195&lt;31,"Adolescent","Invalid")))</f>
        <v>Middle Age</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4">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4">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4">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4">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4">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4">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25">
      <c r="A260">
        <v>14193</v>
      </c>
      <c r="B260" t="s">
        <v>37</v>
      </c>
      <c r="C260" t="s">
        <v>38</v>
      </c>
      <c r="D260" s="4">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4">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4">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4">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4">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4">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4">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4">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4">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25">
      <c r="A388">
        <v>28957</v>
      </c>
      <c r="B388" t="s">
        <v>37</v>
      </c>
      <c r="C388" t="s">
        <v>38</v>
      </c>
      <c r="D388" s="4">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4">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4">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4">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4">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4">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4">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4">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4">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4">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4">
        <v>60000</v>
      </c>
      <c r="E515">
        <v>4</v>
      </c>
      <c r="F515" t="s">
        <v>31</v>
      </c>
      <c r="G515" t="s">
        <v>28</v>
      </c>
      <c r="H515" t="s">
        <v>15</v>
      </c>
      <c r="I515">
        <v>2</v>
      </c>
      <c r="J515" t="s">
        <v>49</v>
      </c>
      <c r="K515" t="s">
        <v>32</v>
      </c>
      <c r="L515">
        <v>61</v>
      </c>
      <c r="M515" t="str">
        <f t="shared" ref="M515:M578" si="8">IF(L515&gt;54, "Old",IF(L515&gt;=31,"Middle Age",IF(L515&lt;31,"Adolescent","Invalid")))</f>
        <v>Old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4">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4">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4">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4">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4">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4">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4">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4">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4">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4">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4">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4">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v>2</v>
      </c>
      <c r="J643" t="s">
        <v>49</v>
      </c>
      <c r="K643" t="s">
        <v>32</v>
      </c>
      <c r="L643">
        <v>64</v>
      </c>
      <c r="M643" t="str">
        <f t="shared" ref="M643:M706" si="10">IF(L643&gt;54, "Old",IF(L643&gt;=31,"Middle Age",IF(L643&lt;31,"Adolescent","Invalid")))</f>
        <v>Old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4">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4">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4">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4">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4">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4">
        <v>70000</v>
      </c>
      <c r="E707">
        <v>4</v>
      </c>
      <c r="F707" t="s">
        <v>13</v>
      </c>
      <c r="G707" t="s">
        <v>28</v>
      </c>
      <c r="H707" t="s">
        <v>15</v>
      </c>
      <c r="I707">
        <v>1</v>
      </c>
      <c r="J707" t="s">
        <v>49</v>
      </c>
      <c r="K707" t="s">
        <v>32</v>
      </c>
      <c r="L707">
        <v>59</v>
      </c>
      <c r="M707" t="str">
        <f t="shared" ref="M707:M770" si="11">IF(L707&gt;54, "Old",IF(L707&gt;=31,"Middle Age",IF(L707&lt;31,"Adolescent","Invalid")))</f>
        <v>Old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4">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4">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4">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4">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4">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4">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4">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4">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4">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4">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4">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4">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4">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4">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4">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25">
      <c r="A900">
        <v>18066</v>
      </c>
      <c r="B900" t="s">
        <v>37</v>
      </c>
      <c r="C900" t="s">
        <v>39</v>
      </c>
      <c r="D900" s="4">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4">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4">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4">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4">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4">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4">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01" si="15">IF(L963&gt;54, "Old",IF(L963&gt;=31,"Middle Age",IF(L963&lt;31,"Adolescent","Invalid")))</f>
        <v>Old</v>
      </c>
      <c r="N963" t="s">
        <v>18</v>
      </c>
    </row>
    <row r="964" spans="1:14" x14ac:dyDescent="0.25">
      <c r="A964">
        <v>16813</v>
      </c>
      <c r="B964" t="s">
        <v>36</v>
      </c>
      <c r="C964" t="s">
        <v>39</v>
      </c>
      <c r="D964" s="4">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4">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4">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4">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4">
        <v>60000</v>
      </c>
      <c r="E1001">
        <v>3</v>
      </c>
      <c r="F1001" t="s">
        <v>27</v>
      </c>
      <c r="G1001" t="s">
        <v>21</v>
      </c>
      <c r="H1001" t="s">
        <v>15</v>
      </c>
      <c r="I1001">
        <v>2</v>
      </c>
      <c r="J1001" t="s">
        <v>49</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1" xr:uid="{2B8C8481-8467-4387-BB31-258BE407C9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0B06-7D71-47A9-856F-108CF153CD35}">
  <dimension ref="A3:D54"/>
  <sheetViews>
    <sheetView tabSelected="1" workbookViewId="0">
      <selection activeCell="T37" sqref="T37"/>
    </sheetView>
  </sheetViews>
  <sheetFormatPr defaultRowHeight="15" x14ac:dyDescent="0.25"/>
  <cols>
    <col min="1" max="1" width="17.85546875" bestFit="1" customWidth="1"/>
    <col min="2" max="2" width="16.28515625" bestFit="1" customWidth="1"/>
    <col min="3" max="3" width="8.57031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38</v>
      </c>
      <c r="B5" s="3">
        <v>45384.615384615383</v>
      </c>
      <c r="C5" s="3">
        <v>50526.315789473687</v>
      </c>
      <c r="D5" s="3">
        <v>47922.077922077922</v>
      </c>
    </row>
    <row r="6" spans="1:4" x14ac:dyDescent="0.25">
      <c r="A6" s="6" t="s">
        <v>39</v>
      </c>
      <c r="B6" s="3">
        <v>45588.23529411765</v>
      </c>
      <c r="C6" s="3">
        <v>53714.285714285717</v>
      </c>
      <c r="D6" s="3">
        <v>49710.144927536232</v>
      </c>
    </row>
    <row r="7" spans="1:4" ht="12" customHeight="1" x14ac:dyDescent="0.25">
      <c r="A7" s="6" t="s">
        <v>42</v>
      </c>
      <c r="B7" s="3">
        <v>45479.452054794521</v>
      </c>
      <c r="C7" s="3">
        <v>52054.794520547948</v>
      </c>
      <c r="D7" s="3">
        <v>48767.123287671231</v>
      </c>
    </row>
    <row r="8" spans="1:4" ht="15" customHeight="1" x14ac:dyDescent="0.25"/>
    <row r="9" spans="1:4" ht="12" customHeight="1" x14ac:dyDescent="0.25"/>
    <row r="10" spans="1:4" hidden="1" x14ac:dyDescent="0.25"/>
    <row r="11" spans="1:4" hidden="1" x14ac:dyDescent="0.25"/>
    <row r="12" spans="1:4" hidden="1" x14ac:dyDescent="0.25"/>
    <row r="13" spans="1:4" ht="0.75" hidden="1" customHeight="1" x14ac:dyDescent="0.25"/>
    <row r="14" spans="1:4" hidden="1" x14ac:dyDescent="0.25"/>
    <row r="15" spans="1:4" hidden="1" x14ac:dyDescent="0.25"/>
    <row r="16" spans="1:4" hidden="1" x14ac:dyDescent="0.25"/>
    <row r="17" spans="1:4" hidden="1" x14ac:dyDescent="0.25"/>
    <row r="18" spans="1:4" hidden="1" x14ac:dyDescent="0.25"/>
    <row r="19" spans="1:4" hidden="1" x14ac:dyDescent="0.25"/>
    <row r="20" spans="1:4" hidden="1" x14ac:dyDescent="0.25"/>
    <row r="21" spans="1:4" hidden="1" x14ac:dyDescent="0.25"/>
    <row r="22" spans="1:4" x14ac:dyDescent="0.25">
      <c r="A22" s="5" t="s">
        <v>48</v>
      </c>
      <c r="B22" s="5" t="s">
        <v>44</v>
      </c>
    </row>
    <row r="23" spans="1:4" x14ac:dyDescent="0.25">
      <c r="A23" s="5" t="s">
        <v>41</v>
      </c>
      <c r="B23" t="s">
        <v>18</v>
      </c>
      <c r="C23" t="s">
        <v>15</v>
      </c>
      <c r="D23" t="s">
        <v>42</v>
      </c>
    </row>
    <row r="24" spans="1:4" x14ac:dyDescent="0.25">
      <c r="A24" s="6" t="s">
        <v>16</v>
      </c>
      <c r="B24" s="7">
        <v>50</v>
      </c>
      <c r="C24" s="7">
        <v>53</v>
      </c>
      <c r="D24" s="7">
        <v>103</v>
      </c>
    </row>
    <row r="25" spans="1:4" x14ac:dyDescent="0.25">
      <c r="A25" s="6" t="s">
        <v>26</v>
      </c>
      <c r="B25" s="7">
        <v>7</v>
      </c>
      <c r="C25" s="7">
        <v>6</v>
      </c>
      <c r="D25" s="7">
        <v>13</v>
      </c>
    </row>
    <row r="26" spans="1:4" x14ac:dyDescent="0.25">
      <c r="A26" s="6" t="s">
        <v>22</v>
      </c>
      <c r="B26" s="7">
        <v>7</v>
      </c>
      <c r="C26" s="7">
        <v>3</v>
      </c>
      <c r="D26" s="7">
        <v>10</v>
      </c>
    </row>
    <row r="27" spans="1:4" x14ac:dyDescent="0.25">
      <c r="A27" s="6" t="s">
        <v>23</v>
      </c>
      <c r="B27" s="7">
        <v>1</v>
      </c>
      <c r="C27" s="7">
        <v>8</v>
      </c>
      <c r="D27" s="7">
        <v>9</v>
      </c>
    </row>
    <row r="28" spans="1:4" x14ac:dyDescent="0.25">
      <c r="A28" s="6" t="s">
        <v>49</v>
      </c>
      <c r="B28" s="7">
        <v>8</v>
      </c>
      <c r="C28" s="7">
        <v>3</v>
      </c>
      <c r="D28" s="7">
        <v>11</v>
      </c>
    </row>
    <row r="29" spans="1:4" x14ac:dyDescent="0.25">
      <c r="A29" s="6" t="s">
        <v>42</v>
      </c>
      <c r="B29" s="7">
        <v>73</v>
      </c>
      <c r="C29" s="7">
        <v>73</v>
      </c>
      <c r="D29" s="7">
        <v>146</v>
      </c>
    </row>
    <row r="30" spans="1:4" ht="14.25" customHeight="1" x14ac:dyDescent="0.25"/>
    <row r="31" spans="1:4" ht="2.25" hidden="1" customHeight="1" x14ac:dyDescent="0.25"/>
    <row r="32" spans="1:4" hidden="1" x14ac:dyDescent="0.25"/>
    <row r="33" spans="1:4" hidden="1" x14ac:dyDescent="0.25"/>
    <row r="34" spans="1:4" hidden="1" x14ac:dyDescent="0.25"/>
    <row r="35" spans="1:4" hidden="1" x14ac:dyDescent="0.25"/>
    <row r="36" spans="1:4" hidden="1" x14ac:dyDescent="0.25"/>
    <row r="38" spans="1:4" x14ac:dyDescent="0.25">
      <c r="A38" s="5" t="s">
        <v>48</v>
      </c>
      <c r="B38" s="5" t="s">
        <v>44</v>
      </c>
    </row>
    <row r="39" spans="1:4" x14ac:dyDescent="0.25">
      <c r="A39" s="5" t="s">
        <v>41</v>
      </c>
      <c r="B39" t="s">
        <v>18</v>
      </c>
      <c r="C39" t="s">
        <v>15</v>
      </c>
      <c r="D39" t="s">
        <v>42</v>
      </c>
    </row>
    <row r="40" spans="1:4" x14ac:dyDescent="0.25">
      <c r="A40" s="6" t="s">
        <v>47</v>
      </c>
      <c r="B40" s="7">
        <v>2</v>
      </c>
      <c r="C40" s="7">
        <v>1</v>
      </c>
      <c r="D40" s="7">
        <v>3</v>
      </c>
    </row>
    <row r="41" spans="1:4" x14ac:dyDescent="0.25">
      <c r="A41" s="6" t="s">
        <v>45</v>
      </c>
      <c r="B41" s="7">
        <v>48</v>
      </c>
      <c r="C41" s="7">
        <v>62</v>
      </c>
      <c r="D41" s="7">
        <v>110</v>
      </c>
    </row>
    <row r="42" spans="1:4" x14ac:dyDescent="0.25">
      <c r="A42" s="6" t="s">
        <v>46</v>
      </c>
      <c r="B42" s="7">
        <v>23</v>
      </c>
      <c r="C42" s="7">
        <v>10</v>
      </c>
      <c r="D42" s="7">
        <v>33</v>
      </c>
    </row>
    <row r="43" spans="1:4" x14ac:dyDescent="0.25">
      <c r="A43" s="6" t="s">
        <v>42</v>
      </c>
      <c r="B43" s="7">
        <v>73</v>
      </c>
      <c r="C43" s="7">
        <v>73</v>
      </c>
      <c r="D43" s="7">
        <v>146</v>
      </c>
    </row>
    <row r="44" spans="1:4" ht="13.5" customHeight="1" x14ac:dyDescent="0.25"/>
    <row r="45" spans="1:4" hidden="1" x14ac:dyDescent="0.25"/>
    <row r="46" spans="1:4" hidden="1" x14ac:dyDescent="0.25"/>
    <row r="47" spans="1:4" hidden="1" x14ac:dyDescent="0.25"/>
    <row r="49" spans="1:4" x14ac:dyDescent="0.25">
      <c r="A49" s="5" t="s">
        <v>51</v>
      </c>
      <c r="B49" s="5" t="s">
        <v>44</v>
      </c>
    </row>
    <row r="50" spans="1:4" x14ac:dyDescent="0.25">
      <c r="A50" s="5" t="s">
        <v>41</v>
      </c>
      <c r="B50" t="s">
        <v>18</v>
      </c>
      <c r="C50" t="s">
        <v>15</v>
      </c>
      <c r="D50" t="s">
        <v>42</v>
      </c>
    </row>
    <row r="51" spans="1:4" x14ac:dyDescent="0.25">
      <c r="A51" s="6" t="s">
        <v>47</v>
      </c>
      <c r="B51" s="10">
        <v>0.66666666666666663</v>
      </c>
      <c r="C51" s="10">
        <v>0.33333333333333331</v>
      </c>
      <c r="D51" s="10">
        <v>1</v>
      </c>
    </row>
    <row r="52" spans="1:4" x14ac:dyDescent="0.25">
      <c r="A52" s="6" t="s">
        <v>45</v>
      </c>
      <c r="B52" s="10">
        <v>0.43636363636363634</v>
      </c>
      <c r="C52" s="10">
        <v>0.5636363636363636</v>
      </c>
      <c r="D52" s="10">
        <v>1</v>
      </c>
    </row>
    <row r="53" spans="1:4" x14ac:dyDescent="0.25">
      <c r="A53" s="6" t="s">
        <v>46</v>
      </c>
      <c r="B53" s="10">
        <v>0.69696969696969702</v>
      </c>
      <c r="C53" s="10">
        <v>0.30303030303030304</v>
      </c>
      <c r="D53" s="10">
        <v>1</v>
      </c>
    </row>
    <row r="54" spans="1:4" x14ac:dyDescent="0.25">
      <c r="A54" s="6" t="s">
        <v>42</v>
      </c>
      <c r="B54" s="10">
        <v>0.5</v>
      </c>
      <c r="C54" s="10">
        <v>0.5</v>
      </c>
      <c r="D54" s="10">
        <v>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AED5-C8ED-4366-8575-9F6E565F2CFA}">
  <dimension ref="A1:S6"/>
  <sheetViews>
    <sheetView showGridLines="0" zoomScale="70" zoomScaleNormal="70" workbookViewId="0">
      <selection activeCell="U33" sqref="U33"/>
    </sheetView>
  </sheetViews>
  <sheetFormatPr defaultRowHeight="15" x14ac:dyDescent="0.25"/>
  <sheetData>
    <row r="1" spans="1:19" ht="15" customHeight="1" x14ac:dyDescent="0.25">
      <c r="A1" s="9" t="s">
        <v>50</v>
      </c>
      <c r="B1" s="9"/>
      <c r="C1" s="9"/>
      <c r="D1" s="9"/>
      <c r="E1" s="9"/>
      <c r="F1" s="9"/>
      <c r="G1" s="9"/>
      <c r="H1" s="9"/>
      <c r="I1" s="9"/>
      <c r="J1" s="9"/>
      <c r="K1" s="9"/>
      <c r="L1" s="9"/>
      <c r="M1" s="9"/>
      <c r="N1" s="9"/>
      <c r="O1" s="9"/>
      <c r="P1" s="9"/>
      <c r="Q1" s="9"/>
      <c r="R1" s="8"/>
      <c r="S1" s="8"/>
    </row>
    <row r="2" spans="1:19" ht="15" customHeight="1" x14ac:dyDescent="0.25">
      <c r="A2" s="9"/>
      <c r="B2" s="9"/>
      <c r="C2" s="9"/>
      <c r="D2" s="9"/>
      <c r="E2" s="9"/>
      <c r="F2" s="9"/>
      <c r="G2" s="9"/>
      <c r="H2" s="9"/>
      <c r="I2" s="9"/>
      <c r="J2" s="9"/>
      <c r="K2" s="9"/>
      <c r="L2" s="9"/>
      <c r="M2" s="9"/>
      <c r="N2" s="9"/>
      <c r="O2" s="9"/>
      <c r="P2" s="9"/>
      <c r="Q2" s="9"/>
      <c r="R2" s="8"/>
      <c r="S2" s="8"/>
    </row>
    <row r="3" spans="1:19" ht="15" customHeight="1" x14ac:dyDescent="0.25">
      <c r="A3" s="9"/>
      <c r="B3" s="9"/>
      <c r="C3" s="9"/>
      <c r="D3" s="9"/>
      <c r="E3" s="9"/>
      <c r="F3" s="9"/>
      <c r="G3" s="9"/>
      <c r="H3" s="9"/>
      <c r="I3" s="9"/>
      <c r="J3" s="9"/>
      <c r="K3" s="9"/>
      <c r="L3" s="9"/>
      <c r="M3" s="9"/>
      <c r="N3" s="9"/>
      <c r="O3" s="9"/>
      <c r="P3" s="9"/>
      <c r="Q3" s="9"/>
      <c r="R3" s="8"/>
      <c r="S3" s="8"/>
    </row>
    <row r="4" spans="1:19" ht="15" customHeight="1" x14ac:dyDescent="0.25">
      <c r="A4" s="9"/>
      <c r="B4" s="9"/>
      <c r="C4" s="9"/>
      <c r="D4" s="9"/>
      <c r="E4" s="9"/>
      <c r="F4" s="9"/>
      <c r="G4" s="9"/>
      <c r="H4" s="9"/>
      <c r="I4" s="9"/>
      <c r="J4" s="9"/>
      <c r="K4" s="9"/>
      <c r="L4" s="9"/>
      <c r="M4" s="9"/>
      <c r="N4" s="9"/>
      <c r="O4" s="9"/>
      <c r="P4" s="9"/>
      <c r="Q4" s="9"/>
      <c r="R4" s="8"/>
      <c r="S4" s="8"/>
    </row>
    <row r="5" spans="1:19" ht="15" customHeight="1" x14ac:dyDescent="0.25">
      <c r="A5" s="9"/>
      <c r="B5" s="9"/>
      <c r="C5" s="9"/>
      <c r="D5" s="9"/>
      <c r="E5" s="9"/>
      <c r="F5" s="9"/>
      <c r="G5" s="9"/>
      <c r="H5" s="9"/>
      <c r="I5" s="9"/>
      <c r="J5" s="9"/>
      <c r="K5" s="9"/>
      <c r="L5" s="9"/>
      <c r="M5" s="9"/>
      <c r="N5" s="9"/>
      <c r="O5" s="9"/>
      <c r="P5" s="9"/>
      <c r="Q5" s="9"/>
      <c r="R5" s="8"/>
      <c r="S5" s="8"/>
    </row>
    <row r="6" spans="1:19" ht="15" customHeight="1" x14ac:dyDescent="0.25">
      <c r="A6" s="9"/>
      <c r="B6" s="9"/>
      <c r="C6" s="9"/>
      <c r="D6" s="9"/>
      <c r="E6" s="9"/>
      <c r="F6" s="9"/>
      <c r="G6" s="9"/>
      <c r="H6" s="9"/>
      <c r="I6" s="9"/>
      <c r="J6" s="9"/>
      <c r="K6" s="9"/>
      <c r="L6" s="9"/>
      <c r="M6" s="9"/>
      <c r="N6" s="9"/>
      <c r="O6" s="9"/>
      <c r="P6" s="9"/>
      <c r="Q6" s="9"/>
      <c r="R6" s="8"/>
      <c r="S6" s="8"/>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Václav Benda</cp:lastModifiedBy>
  <dcterms:created xsi:type="dcterms:W3CDTF">2022-03-18T02:50:57Z</dcterms:created>
  <dcterms:modified xsi:type="dcterms:W3CDTF">2026-05-22T14:09:55Z</dcterms:modified>
</cp:coreProperties>
</file>